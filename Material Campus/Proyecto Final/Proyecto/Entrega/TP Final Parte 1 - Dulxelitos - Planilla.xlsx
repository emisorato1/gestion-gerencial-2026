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durez" sheetId="1" state="visible" r:id="rId1"/>
    <sheet name="Resultado" sheetId="2" state="visible" r:id="rId2"/>
    <sheet name="FODA" sheetId="3" state="visible" r:id="rId3"/>
    <sheet name="Herramien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BE4D5"/>
      </patternFill>
    </fill>
    <fill>
      <patternFill patternType="solid">
        <fgColor rgb="00DDEBF7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5" fillId="5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Madurez por dimensión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'Resultado'!D3</f>
            </strRef>
          </tx>
          <spPr>
            <a:ln>
              <a:prstDash val="solid"/>
            </a:ln>
          </spPr>
          <cat>
            <numRef>
              <f>'Resultado'!$A$4:$A$10</f>
            </numRef>
          </cat>
          <val>
            <numRef>
              <f>'Resultado'!$D$4:$D$10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Promedio (1 a 5)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11" customWidth="1" min="3" max="3"/>
    <col width="9" customWidth="1" min="4" max="4"/>
    <col width="60" customWidth="1" min="5" max="5"/>
  </cols>
  <sheetData>
    <row r="1" ht="26" customHeight="1">
      <c r="A1" s="1" t="inlineStr">
        <is>
          <t>Encuesta de madurez digital - Dulxelitos</t>
        </is>
      </c>
    </row>
    <row r="2" ht="30" customHeight="1">
      <c r="A2" s="2" t="inlineStr">
        <is>
          <t>Respondida por el equipo consultor con la evidencia relevada, no por autoevaluación de la empresa. Para recalcular, cambiar solo la columna Respuesta (celdas amarillas): el puntaje y los resultados se actualizan solos.</t>
        </is>
      </c>
    </row>
    <row r="4" ht="28" customHeight="1">
      <c r="A4" s="3" t="inlineStr">
        <is>
          <t>Dimensión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Puntaje</t>
        </is>
      </c>
      <c r="E4" s="3" t="inlineStr">
        <is>
          <t>En qué nos basamos</t>
        </is>
      </c>
    </row>
    <row r="5">
      <c r="A5" s="4" t="inlineStr">
        <is>
          <t>Liderazgo y Cultura Digital</t>
        </is>
      </c>
      <c r="B5" s="4" t="inlineStr">
        <is>
          <t>¿Existe una visión digital clara comunicada por los líderes?</t>
        </is>
      </c>
      <c r="C5" s="5" t="inlineStr">
        <is>
          <t>A</t>
        </is>
      </c>
      <c r="D5" s="6">
        <f>IFERROR(INDEX(Resultado!$I$5:$I$9,MATCH(C5,Resultado!$H$5:$H$9,0)),"")</f>
        <v/>
      </c>
      <c r="E5" s="4" t="inlineStr">
        <is>
          <t>No hay ninguna iniciativa de cambio marcada</t>
        </is>
      </c>
    </row>
    <row r="6">
      <c r="A6" s="7" t="inlineStr">
        <is>
          <t>Liderazgo y Cultura Digital</t>
        </is>
      </c>
      <c r="B6" s="7" t="inlineStr">
        <is>
          <t>¿Los líderes promueven activamente la transformación digital?</t>
        </is>
      </c>
      <c r="C6" s="5" t="inlineStr">
        <is>
          <t>A</t>
        </is>
      </c>
      <c r="D6" s="8">
        <f>IFERROR(INDEX(Resultado!$I$5:$I$9,MATCH(C6,Resultado!$H$5:$H$9,0)),"")</f>
        <v/>
      </c>
      <c r="E6" s="7" t="inlineStr">
        <is>
          <t>Sin plan ni responsable asignado</t>
        </is>
      </c>
    </row>
    <row r="7">
      <c r="A7" s="4" t="inlineStr">
        <is>
          <t>Liderazgo y Cultura Digital</t>
        </is>
      </c>
      <c r="B7" s="4" t="inlineStr">
        <is>
          <t>¿La cultura organizacional apoya la innovación tecnológica?</t>
        </is>
      </c>
      <c r="C7" s="5" t="inlineStr">
        <is>
          <t>B</t>
        </is>
      </c>
      <c r="D7" s="6">
        <f>IFERROR(INDEX(Resultado!$I$5:$I$9,MATCH(C7,Resultado!$H$5:$H$9,0)),"")</f>
        <v/>
      </c>
      <c r="E7" s="4" t="inlineStr">
        <is>
          <t>Aprovechan oportunidades de producto nuevo cuando aparecen</t>
        </is>
      </c>
    </row>
    <row r="8">
      <c r="A8" s="7" t="inlineStr">
        <is>
          <t>Liderazgo y Cultura Digital</t>
        </is>
      </c>
      <c r="B8" s="7" t="inlineStr">
        <is>
          <t>¿Se fomenta la experimentación y el aprendizaje continuo?</t>
        </is>
      </c>
      <c r="C8" s="5" t="inlineStr">
        <is>
          <t>B</t>
        </is>
      </c>
      <c r="D8" s="8">
        <f>IFERROR(INDEX(Resultado!$I$5:$I$9,MATCH(C8,Resultado!$H$5:$H$9,0)),"")</f>
        <v/>
      </c>
      <c r="E8" s="7" t="inlineStr">
        <is>
          <t>Hay ganas de capacitarse, pero no hay programa</t>
        </is>
      </c>
    </row>
    <row r="9">
      <c r="A9" s="4" t="inlineStr">
        <is>
          <t>Estrategia y Modelo de Negocio</t>
        </is>
      </c>
      <c r="B9" s="4" t="inlineStr">
        <is>
          <t>¿La estrategia digital está integrada en la general?</t>
        </is>
      </c>
      <c r="C9" s="5" t="inlineStr">
        <is>
          <t>A</t>
        </is>
      </c>
      <c r="D9" s="6">
        <f>IFERROR(INDEX(Resultado!$I$5:$I$9,MATCH(C9,Resultado!$H$5:$H$9,0)),"")</f>
        <v/>
      </c>
      <c r="E9" s="4" t="inlineStr">
        <is>
          <t>No hay estrategia digital formulada</t>
        </is>
      </c>
    </row>
    <row r="10">
      <c r="A10" s="7" t="inlineStr">
        <is>
          <t>Estrategia y Modelo de Negocio</t>
        </is>
      </c>
      <c r="B10" s="7" t="inlineStr">
        <is>
          <t>¿Se exploran nuevos modelos de negocio habilitados por tecnología?</t>
        </is>
      </c>
      <c r="C10" s="5" t="inlineStr">
        <is>
          <t>B</t>
        </is>
      </c>
      <c r="D10" s="8">
        <f>IFERROR(INDEX(Resultado!$I$5:$I$9,MATCH(C10,Resultado!$H$5:$H$9,0)),"")</f>
        <v/>
      </c>
      <c r="E10" s="7" t="inlineStr">
        <is>
          <t>Construyeron la tienda online en 2020 y no la activaron</t>
        </is>
      </c>
    </row>
    <row r="11">
      <c r="A11" s="4" t="inlineStr">
        <is>
          <t>Estrategia y Modelo de Negocio</t>
        </is>
      </c>
      <c r="B11" s="4" t="inlineStr">
        <is>
          <t>¿Existen indicadores de éxito digital claramente definidos?</t>
        </is>
      </c>
      <c r="C11" s="5" t="inlineStr">
        <is>
          <t>A</t>
        </is>
      </c>
      <c r="D11" s="6">
        <f>IFERROR(INDEX(Resultado!$I$5:$I$9,MATCH(C11,Resultado!$H$5:$H$9,0)),"")</f>
        <v/>
      </c>
      <c r="E11" s="4" t="inlineStr">
        <is>
          <t>No hay indicadores de éxito digital definidos</t>
        </is>
      </c>
    </row>
    <row r="12">
      <c r="A12" s="7" t="inlineStr">
        <is>
          <t>Estrategia y Modelo de Negocio</t>
        </is>
      </c>
      <c r="B12" s="7" t="inlineStr">
        <is>
          <t>¿La empresa revisa periódicamente su estrategia digital?</t>
        </is>
      </c>
      <c r="C12" s="5" t="inlineStr">
        <is>
          <t>A</t>
        </is>
      </c>
      <c r="D12" s="8">
        <f>IFERROR(INDEX(Resultado!$I$5:$I$9,MATCH(C12,Resultado!$H$5:$H$9,0)),"")</f>
        <v/>
      </c>
      <c r="E12" s="7" t="inlineStr">
        <is>
          <t>No hay revisión periódica</t>
        </is>
      </c>
    </row>
    <row r="13">
      <c r="A13" s="4" t="inlineStr">
        <is>
          <t>Tecnología y Datos</t>
        </is>
      </c>
      <c r="B13" s="4" t="inlineStr">
        <is>
          <t>¿Cuenta con infraestructura tecnológica actualizada?</t>
        </is>
      </c>
      <c r="C13" s="5" t="inlineStr">
        <is>
          <t>B</t>
        </is>
      </c>
      <c r="D13" s="6">
        <f>IFERROR(INDEX(Resultado!$I$5:$I$9,MATCH(C13,Resultado!$H$5:$H$9,0)),"")</f>
        <v/>
      </c>
      <c r="E13" s="4" t="inlineStr">
        <is>
          <t>Discovery (BAS), desactualizado y con errores</t>
        </is>
      </c>
    </row>
    <row r="14">
      <c r="A14" s="7" t="inlineStr">
        <is>
          <t>Tecnología y Datos</t>
        </is>
      </c>
      <c r="B14" s="7" t="inlineStr">
        <is>
          <t>¿Existen sistemas integrados (ERP, CRM)?</t>
        </is>
      </c>
      <c r="C14" s="5" t="inlineStr">
        <is>
          <t>A</t>
        </is>
      </c>
      <c r="D14" s="8">
        <f>IFERROR(INDEX(Resultado!$I$5:$I$9,MATCH(C14,Resultado!$H$5:$H$9,0)),"")</f>
        <v/>
      </c>
      <c r="E14" s="7" t="inlineStr">
        <is>
          <t>El sistema no se integra con nada y no hay CRM</t>
        </is>
      </c>
    </row>
    <row r="15">
      <c r="A15" s="4" t="inlineStr">
        <is>
          <t>Tecnología y Datos</t>
        </is>
      </c>
      <c r="B15" s="4" t="inlineStr">
        <is>
          <t>¿Qué nivel de automatización tienen los procesos clave?</t>
        </is>
      </c>
      <c r="C15" s="5" t="inlineStr">
        <is>
          <t>C</t>
        </is>
      </c>
      <c r="D15" s="6">
        <f>IFERROR(INDEX(Resultado!$I$5:$I$9,MATCH(C15,Resultado!$H$5:$H$9,0)),"")</f>
        <v/>
      </c>
      <c r="E15" s="4" t="inlineStr">
        <is>
          <t>Facturación, stock y cuentas corrientes en el sistema; costeo y precios a mano</t>
        </is>
      </c>
    </row>
    <row r="16">
      <c r="A16" s="7" t="inlineStr">
        <is>
          <t>Tecnología y Datos</t>
        </is>
      </c>
      <c r="B16" s="7" t="inlineStr">
        <is>
          <t>¿Se recopilan y analizan datos para la toma de decisiones?</t>
        </is>
      </c>
      <c r="C16" s="5" t="inlineStr">
        <is>
          <t>C</t>
        </is>
      </c>
      <c r="D16" s="8">
        <f>IFERROR(INDEX(Resultado!$I$5:$I$9,MATCH(C16,Resultado!$H$5:$H$9,0)),"")</f>
        <v/>
      </c>
      <c r="E16" s="7" t="inlineStr">
        <is>
          <t>Hacen estadísticas mensuales, sin tablero ni indicadores gerenciales integrados</t>
        </is>
      </c>
    </row>
    <row r="17">
      <c r="A17" s="4" t="inlineStr">
        <is>
          <t>Procesos y Operaciones</t>
        </is>
      </c>
      <c r="B17" s="4" t="inlineStr">
        <is>
          <t>¿Los procesos están estandarizados y documentados?</t>
        </is>
      </c>
      <c r="C17" s="5" t="inlineStr">
        <is>
          <t>C</t>
        </is>
      </c>
      <c r="D17" s="6">
        <f>IFERROR(INDEX(Resultado!$I$5:$I$9,MATCH(C17,Resultado!$H$5:$H$9,0)),"")</f>
        <v/>
      </c>
      <c r="E17" s="4" t="inlineStr">
        <is>
          <t>Producción estandarizada por 53 años de oficio y documentada a nivel básico</t>
        </is>
      </c>
    </row>
    <row r="18">
      <c r="A18" s="7" t="inlineStr">
        <is>
          <t>Procesos y Operaciones</t>
        </is>
      </c>
      <c r="B18" s="7" t="inlineStr">
        <is>
          <t>¿Se han digitalizado los procesos clave?</t>
        </is>
      </c>
      <c r="C18" s="5" t="inlineStr">
        <is>
          <t>C</t>
        </is>
      </c>
      <c r="D18" s="8">
        <f>IFERROR(INDEX(Resultado!$I$5:$I$9,MATCH(C18,Resultado!$H$5:$H$9,0)),"")</f>
        <v/>
      </c>
      <c r="E18" s="7" t="inlineStr">
        <is>
          <t>Facturación y stock sí; costeo, pedidos y relación con el canal no</t>
        </is>
      </c>
    </row>
    <row r="19">
      <c r="A19" s="4" t="inlineStr">
        <is>
          <t>Procesos y Operaciones</t>
        </is>
      </c>
      <c r="B19" s="4" t="inlineStr">
        <is>
          <t>¿Se mide y mejora continuamente la eficiencia operativa?</t>
        </is>
      </c>
      <c r="C19" s="5" t="inlineStr">
        <is>
          <t>C</t>
        </is>
      </c>
      <c r="D19" s="6">
        <f>IFERROR(INDEX(Resultado!$I$5:$I$9,MATCH(C19,Resultado!$H$5:$H$9,0)),"")</f>
        <v/>
      </c>
      <c r="E19" s="4" t="inlineStr">
        <is>
          <t>Generan datos de producción, facturación y ventas por cliente, pero el uso es reactivo</t>
        </is>
      </c>
    </row>
    <row r="20">
      <c r="A20" s="7" t="inlineStr">
        <is>
          <t>Procesos y Operaciones</t>
        </is>
      </c>
      <c r="B20" s="7" t="inlineStr">
        <is>
          <t>¿Existe una gobernanza clara sobre los procesos digitales?</t>
        </is>
      </c>
      <c r="C20" s="5" t="inlineStr">
        <is>
          <t>A</t>
        </is>
      </c>
      <c r="D20" s="8">
        <f>IFERROR(INDEX(Resultado!$I$5:$I$9,MATCH(C20,Resultado!$H$5:$H$9,0)),"")</f>
        <v/>
      </c>
      <c r="E20" s="7" t="inlineStr">
        <is>
          <t>El responsable de sistemas no tiene asignada esa gobernanza ni hay criterio definido</t>
        </is>
      </c>
    </row>
    <row r="21">
      <c r="A21" s="4" t="inlineStr">
        <is>
          <t>Personas y Habilidades</t>
        </is>
      </c>
      <c r="B21" s="4" t="inlineStr">
        <is>
          <t>¿El personal tiene habilidades digitales adecuadas?</t>
        </is>
      </c>
      <c r="C21" s="5" t="inlineStr">
        <is>
          <t>B</t>
        </is>
      </c>
      <c r="D21" s="6">
        <f>IFERROR(INDEX(Resultado!$I$5:$I$9,MATCH(C21,Resultado!$H$5:$H$9,0)),"")</f>
        <v/>
      </c>
      <c r="E21" s="4" t="inlineStr">
        <is>
          <t>Operan el sistema, sin autonomía más allá de la carga</t>
        </is>
      </c>
    </row>
    <row r="22">
      <c r="A22" s="7" t="inlineStr">
        <is>
          <t>Personas y Habilidades</t>
        </is>
      </c>
      <c r="B22" s="7" t="inlineStr">
        <is>
          <t>¿Se ofrecen programas de capacitación continua en tecnología?</t>
        </is>
      </c>
      <c r="C22" s="5" t="inlineStr">
        <is>
          <t>A</t>
        </is>
      </c>
      <c r="D22" s="8">
        <f>IFERROR(INDEX(Resultado!$I$5:$I$9,MATCH(C22,Resultado!$H$5:$H$9,0)),"")</f>
        <v/>
      </c>
      <c r="E22" s="7" t="inlineStr">
        <is>
          <t>Nadie se capacitó en los últimos dos años</t>
        </is>
      </c>
    </row>
    <row r="23">
      <c r="A23" s="4" t="inlineStr">
        <is>
          <t>Personas y Habilidades</t>
        </is>
      </c>
      <c r="B23" s="4" t="inlineStr">
        <is>
          <t>¿Se promueve el desarrollo de competencias digitales?</t>
        </is>
      </c>
      <c r="C23" s="5" t="inlineStr">
        <is>
          <t>B</t>
        </is>
      </c>
      <c r="D23" s="6">
        <f>IFERROR(INDEX(Resultado!$I$5:$I$9,MATCH(C23,Resultado!$H$5:$H$9,0)),"")</f>
        <v/>
      </c>
      <c r="E23" s="4" t="inlineStr">
        <is>
          <t>Hay predisposición del equipo</t>
        </is>
      </c>
    </row>
    <row r="24">
      <c r="A24" s="7" t="inlineStr">
        <is>
          <t>Personas y Habilidades</t>
        </is>
      </c>
      <c r="B24" s="7" t="inlineStr">
        <is>
          <t>¿Existe colaboración interdisciplinaria en proyectos digitales?</t>
        </is>
      </c>
      <c r="C24" s="5" t="inlineStr">
        <is>
          <t>A</t>
        </is>
      </c>
      <c r="D24" s="8">
        <f>IFERROR(INDEX(Resultado!$I$5:$I$9,MATCH(C24,Resultado!$H$5:$H$9,0)),"")</f>
        <v/>
      </c>
      <c r="E24" s="7" t="inlineStr">
        <is>
          <t>No hay proyectos digitales</t>
        </is>
      </c>
    </row>
    <row r="25">
      <c r="A25" s="4" t="inlineStr">
        <is>
          <t>Clientes y Canales</t>
        </is>
      </c>
      <c r="B25" s="4" t="inlineStr">
        <is>
          <t>¿Se usan canales digitales para interactuar con clientes?</t>
        </is>
      </c>
      <c r="C25" s="5" t="inlineStr">
        <is>
          <t>C</t>
        </is>
      </c>
      <c r="D25" s="6">
        <f>IFERROR(INDEX(Resultado!$I$5:$I$9,MATCH(C25,Resultado!$H$5:$H$9,0)),"")</f>
        <v/>
      </c>
      <c r="E25" s="4" t="inlineStr">
        <is>
          <t>WhatsApp como canal principal de pedidos e Instagram activo</t>
        </is>
      </c>
    </row>
    <row r="26">
      <c r="A26" s="7" t="inlineStr">
        <is>
          <t>Clientes y Canales</t>
        </is>
      </c>
      <c r="B26" s="7" t="inlineStr">
        <is>
          <t>¿La experiencia del cliente se gestiona con herramientas tecnológicas?</t>
        </is>
      </c>
      <c r="C26" s="5" t="inlineStr">
        <is>
          <t>A</t>
        </is>
      </c>
      <c r="D26" s="8">
        <f>IFERROR(INDEX(Resultado!$I$5:$I$9,MATCH(C26,Resultado!$H$5:$H$9,0)),"")</f>
        <v/>
      </c>
      <c r="E26" s="7" t="inlineStr">
        <is>
          <t>Sin CRM ni registro de interacciones</t>
        </is>
      </c>
    </row>
    <row r="27">
      <c r="A27" s="4" t="inlineStr">
        <is>
          <t>Clientes y Canales</t>
        </is>
      </c>
      <c r="B27" s="4" t="inlineStr">
        <is>
          <t>¿Se recopilan datos del cliente para mejorar el servicio?</t>
        </is>
      </c>
      <c r="C27" s="5" t="inlineStr">
        <is>
          <t>A</t>
        </is>
      </c>
      <c r="D27" s="6">
        <f>IFERROR(INDEX(Resultado!$I$5:$I$9,MATCH(C27,Resultado!$H$5:$H$9,0)),"")</f>
        <v/>
      </c>
      <c r="E27" s="4" t="inlineStr">
        <is>
          <t>No conocen ni la concentración de facturación ni las causas de baja</t>
        </is>
      </c>
    </row>
    <row r="28">
      <c r="A28" s="7" t="inlineStr">
        <is>
          <t>Clientes y Canales</t>
        </is>
      </c>
      <c r="B28" s="7" t="inlineStr">
        <is>
          <t>¿Existen mecanismos digitales de atención y soporte?</t>
        </is>
      </c>
      <c r="C28" s="5" t="inlineStr">
        <is>
          <t>C</t>
        </is>
      </c>
      <c r="D28" s="8">
        <f>IFERROR(INDEX(Resultado!$I$5:$I$9,MATCH(C28,Resultado!$H$5:$H$9,0)),"")</f>
        <v/>
      </c>
      <c r="E28" s="7" t="inlineStr">
        <is>
          <t>WhatsApp, dentro del horario de oficina</t>
        </is>
      </c>
    </row>
    <row r="29">
      <c r="A29" s="4" t="inlineStr">
        <is>
          <t>Gobierno</t>
        </is>
      </c>
      <c r="B29" s="4" t="inlineStr">
        <is>
          <t>¿Hay reuniones periódicas de dirección para revisar números?</t>
        </is>
      </c>
      <c r="C29" s="5" t="inlineStr">
        <is>
          <t>A</t>
        </is>
      </c>
      <c r="D29" s="6">
        <f>IFERROR(INDEX(Resultado!$I$5:$I$9,MATCH(C29,Resultado!$H$5:$H$9,0)),"")</f>
        <v/>
      </c>
      <c r="E29" s="4" t="inlineStr">
        <is>
          <t>"No, muy pyme", nos dijeron</t>
        </is>
      </c>
    </row>
    <row r="30">
      <c r="A30" s="7" t="inlineStr">
        <is>
          <t>Gobierno</t>
        </is>
      </c>
      <c r="B30" s="7" t="inlineStr">
        <is>
          <t>¿Hay indicadores definidos y revisados con periodicidad?</t>
        </is>
      </c>
      <c r="C30" s="5" t="inlineStr">
        <is>
          <t>A</t>
        </is>
      </c>
      <c r="D30" s="8">
        <f>IFERROR(INDEX(Resultado!$I$5:$I$9,MATCH(C30,Resultado!$H$5:$H$9,0)),"")</f>
        <v/>
      </c>
      <c r="E30" s="7" t="inlineStr">
        <is>
          <t>No hay indicadores gerenciales definidos ni revisión de dirección</t>
        </is>
      </c>
    </row>
    <row r="31">
      <c r="A31" s="4" t="inlineStr">
        <is>
          <t>Gobierno</t>
        </is>
      </c>
      <c r="B31" s="4" t="inlineStr">
        <is>
          <t>¿Hay roles y responsabilidades formalizados sobre datos y sistemas?</t>
        </is>
      </c>
      <c r="C31" s="5" t="inlineStr">
        <is>
          <t>B</t>
        </is>
      </c>
      <c r="D31" s="6">
        <f>IFERROR(INDEX(Resultado!$I$5:$I$9,MATCH(C31,Resultado!$H$5:$H$9,0)),"")</f>
        <v/>
      </c>
      <c r="E31" s="4" t="inlineStr">
        <is>
          <t>Tienen responsable del área de sistemas</t>
        </is>
      </c>
    </row>
    <row r="32">
      <c r="A32" s="7" t="inlineStr">
        <is>
          <t>Gobierno</t>
        </is>
      </c>
      <c r="B32" s="7" t="inlineStr">
        <is>
          <t>¿Se revisan riesgos de continuidad (proveedor único, backup, sucesión)?</t>
        </is>
      </c>
      <c r="C32" s="5" t="inlineStr">
        <is>
          <t>B</t>
        </is>
      </c>
      <c r="D32" s="8">
        <f>IFERROR(INDEX(Resultado!$I$5:$I$9,MATCH(C32,Resultado!$H$5:$H$9,0)),"")</f>
        <v/>
      </c>
      <c r="E32" s="7" t="inlineStr">
        <is>
          <t>Hay backup de planillas y segunda generación, pero el proveedor único de film no se gestiona como riesgo</t>
        </is>
      </c>
    </row>
    <row r="33">
      <c r="C33" s="9" t="inlineStr">
        <is>
          <t>TOTAL</t>
        </is>
      </c>
      <c r="D33" s="10">
        <f>SUM(D5:D32)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8" customWidth="1" min="5" max="5"/>
    <col width="3" customWidth="1" min="6" max="6"/>
    <col width="3" customWidth="1" min="7" max="7"/>
    <col width="6" customWidth="1" min="8" max="8"/>
    <col width="8" customWidth="1" min="9" max="9"/>
    <col width="34" customWidth="1" min="10" max="10"/>
    <col width="8" customWidth="1" min="11" max="11"/>
    <col width="20" customWidth="1" min="12" max="12"/>
  </cols>
  <sheetData>
    <row r="1" ht="26" customHeight="1">
      <c r="A1" s="1" t="inlineStr">
        <is>
          <t>Resultado por dimensión</t>
        </is>
      </c>
    </row>
    <row r="3" ht="28" customHeight="1">
      <c r="A3" s="3" t="inlineStr">
        <is>
          <t>Dimensión</t>
        </is>
      </c>
      <c r="B3" s="3" t="inlineStr">
        <is>
          <t>Puntos</t>
        </is>
      </c>
      <c r="C3" s="3" t="inlineStr">
        <is>
          <t>Preguntas</t>
        </is>
      </c>
      <c r="D3" s="3" t="inlineStr">
        <is>
          <t>Promedio</t>
        </is>
      </c>
      <c r="E3" s="3" t="inlineStr">
        <is>
          <t>Nivel</t>
        </is>
      </c>
      <c r="H3" s="11" t="inlineStr">
        <is>
          <t>Escala de respuesta</t>
        </is>
      </c>
      <c r="K3" s="11" t="inlineStr">
        <is>
          <t>Bandas de nivel</t>
        </is>
      </c>
    </row>
    <row r="4">
      <c r="A4" s="12" t="inlineStr">
        <is>
          <t>Liderazgo y Cultura Digital</t>
        </is>
      </c>
      <c r="B4" s="13">
        <f>SUMIF(Madurez!$A$5:$A$32,$A4,Madurez!$D$5:$D$32)</f>
        <v/>
      </c>
      <c r="C4" s="13">
        <f>COUNTIF(Madurez!$A$5:$A$32,$A4)</f>
        <v/>
      </c>
      <c r="D4" s="14">
        <f>IFERROR(B4/C4,"")</f>
        <v/>
      </c>
      <c r="E4" s="13">
        <f>IFERROR(INDEX($L$5:$L$9,MATCH(D4,$K$5:$K$9,1)),"")</f>
        <v/>
      </c>
    </row>
    <row r="5">
      <c r="A5" s="12" t="inlineStr">
        <is>
          <t>Estrategia y Modelo de Negocio</t>
        </is>
      </c>
      <c r="B5" s="13">
        <f>SUMIF(Madurez!$A$5:$A$32,$A5,Madurez!$D$5:$D$32)</f>
        <v/>
      </c>
      <c r="C5" s="13">
        <f>COUNTIF(Madurez!$A$5:$A$32,$A5)</f>
        <v/>
      </c>
      <c r="D5" s="14">
        <f>IFERROR(B5/C5,"")</f>
        <v/>
      </c>
      <c r="E5" s="13">
        <f>IFERROR(INDEX($L$5:$L$9,MATCH(D5,$K$5:$K$9,1)),"")</f>
        <v/>
      </c>
      <c r="H5" s="15" t="inlineStr">
        <is>
          <t>A</t>
        </is>
      </c>
      <c r="I5" s="15" t="n">
        <v>1</v>
      </c>
      <c r="J5" s="16" t="inlineStr">
        <is>
          <t>No se aplica / no implementado</t>
        </is>
      </c>
      <c r="K5" s="15" t="n">
        <v>0</v>
      </c>
      <c r="L5" s="15" t="inlineStr">
        <is>
          <t>Inicial</t>
        </is>
      </c>
    </row>
    <row r="6">
      <c r="A6" s="12" t="inlineStr">
        <is>
          <t>Tecnología y Datos</t>
        </is>
      </c>
      <c r="B6" s="13">
        <f>SUMIF(Madurez!$A$5:$A$32,$A6,Madurez!$D$5:$D$32)</f>
        <v/>
      </c>
      <c r="C6" s="13">
        <f>COUNTIF(Madurez!$A$5:$A$32,$A6)</f>
        <v/>
      </c>
      <c r="D6" s="14">
        <f>IFERROR(B6/C6,"")</f>
        <v/>
      </c>
      <c r="E6" s="13">
        <f>IFERROR(INDEX($L$5:$L$9,MATCH(D6,$K$5:$K$9,1)),"")</f>
        <v/>
      </c>
      <c r="H6" s="15" t="inlineStr">
        <is>
          <t>B</t>
        </is>
      </c>
      <c r="I6" s="15" t="n">
        <v>2</v>
      </c>
      <c r="J6" s="16" t="inlineStr">
        <is>
          <t>Parcial o informal</t>
        </is>
      </c>
      <c r="K6" s="15" t="n">
        <v>2</v>
      </c>
      <c r="L6" s="15" t="inlineStr">
        <is>
          <t>Básico</t>
        </is>
      </c>
    </row>
    <row r="7">
      <c r="A7" s="12" t="inlineStr">
        <is>
          <t>Procesos y Operaciones</t>
        </is>
      </c>
      <c r="B7" s="13">
        <f>SUMIF(Madurez!$A$5:$A$32,$A7,Madurez!$D$5:$D$32)</f>
        <v/>
      </c>
      <c r="C7" s="13">
        <f>COUNTIF(Madurez!$A$5:$A$32,$A7)</f>
        <v/>
      </c>
      <c r="D7" s="14">
        <f>IFERROR(B7/C7,"")</f>
        <v/>
      </c>
      <c r="E7" s="13">
        <f>IFERROR(INDEX($L$5:$L$9,MATCH(D7,$K$5:$K$9,1)),"")</f>
        <v/>
      </c>
      <c r="H7" s="15" t="inlineStr">
        <is>
          <t>C</t>
        </is>
      </c>
      <c r="I7" s="15" t="n">
        <v>3</v>
      </c>
      <c r="J7" s="16" t="inlineStr">
        <is>
          <t>Básico o reactivo</t>
        </is>
      </c>
      <c r="K7" s="15" t="n">
        <v>3</v>
      </c>
      <c r="L7" s="15" t="inlineStr">
        <is>
          <t>Intermedio</t>
        </is>
      </c>
    </row>
    <row r="8">
      <c r="A8" s="12" t="inlineStr">
        <is>
          <t>Personas y Habilidades</t>
        </is>
      </c>
      <c r="B8" s="13">
        <f>SUMIF(Madurez!$A$5:$A$32,$A8,Madurez!$D$5:$D$32)</f>
        <v/>
      </c>
      <c r="C8" s="13">
        <f>COUNTIF(Madurez!$A$5:$A$32,$A8)</f>
        <v/>
      </c>
      <c r="D8" s="14">
        <f>IFERROR(B8/C8,"")</f>
        <v/>
      </c>
      <c r="E8" s="13">
        <f>IFERROR(INDEX($L$5:$L$9,MATCH(D8,$K$5:$K$9,1)),"")</f>
        <v/>
      </c>
      <c r="H8" s="15" t="inlineStr">
        <is>
          <t>D</t>
        </is>
      </c>
      <c r="I8" s="15" t="n">
        <v>4</v>
      </c>
      <c r="J8" s="16" t="inlineStr">
        <is>
          <t>Estandarizado y documentado</t>
        </is>
      </c>
      <c r="K8" s="15" t="n">
        <v>4</v>
      </c>
      <c r="L8" s="15" t="inlineStr">
        <is>
          <t>Avanzado</t>
        </is>
      </c>
    </row>
    <row r="9">
      <c r="A9" s="12" t="inlineStr">
        <is>
          <t>Clientes y Canales</t>
        </is>
      </c>
      <c r="B9" s="13">
        <f>SUMIF(Madurez!$A$5:$A$32,$A9,Madurez!$D$5:$D$32)</f>
        <v/>
      </c>
      <c r="C9" s="13">
        <f>COUNTIF(Madurez!$A$5:$A$32,$A9)</f>
        <v/>
      </c>
      <c r="D9" s="14">
        <f>IFERROR(B9/C9,"")</f>
        <v/>
      </c>
      <c r="E9" s="13">
        <f>IFERROR(INDEX($L$5:$L$9,MATCH(D9,$K$5:$K$9,1)),"")</f>
        <v/>
      </c>
      <c r="H9" s="15" t="inlineStr">
        <is>
          <t>E</t>
        </is>
      </c>
      <c r="I9" s="15" t="n">
        <v>5</v>
      </c>
      <c r="J9" s="16" t="inlineStr">
        <is>
          <t>Optimizado o integrado</t>
        </is>
      </c>
      <c r="K9" s="15" t="n">
        <v>4.6</v>
      </c>
      <c r="L9" s="15" t="inlineStr">
        <is>
          <t>Transformacional</t>
        </is>
      </c>
    </row>
    <row r="10">
      <c r="A10" s="12" t="inlineStr">
        <is>
          <t>Gobierno</t>
        </is>
      </c>
      <c r="B10" s="13">
        <f>SUMIF(Madurez!$A$5:$A$32,$A10,Madurez!$D$5:$D$32)</f>
        <v/>
      </c>
      <c r="C10" s="13">
        <f>COUNTIF(Madurez!$A$5:$A$32,$A10)</f>
        <v/>
      </c>
      <c r="D10" s="14">
        <f>IFERROR(B10/C10,"")</f>
        <v/>
      </c>
      <c r="E10" s="13">
        <f>IFERROR(INDEX($L$5:$L$9,MATCH(D10,$K$5:$K$9,1)),"")</f>
        <v/>
      </c>
    </row>
    <row r="11">
      <c r="A11" s="17" t="inlineStr">
        <is>
          <t>GLOBAL</t>
        </is>
      </c>
      <c r="B11" s="18">
        <f>SUM(B4:B10)</f>
        <v/>
      </c>
      <c r="C11" s="18">
        <f>SUM(C4:C10)</f>
        <v/>
      </c>
      <c r="D11" s="19">
        <f>IFERROR(B11/C11,"")</f>
        <v/>
      </c>
      <c r="E11" s="18">
        <f>IFERROR(INDEX($L$5:$L$9,MATCH(D11,$K$5:$K$9,1)),"")</f>
        <v/>
      </c>
      <c r="K11" s="16" t="inlineStr">
        <is>
          <t>Cada banda es el piso del nivel: un promedio de 1.79 cae en Inicial.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26" customHeight="1">
      <c r="A1" s="1" t="inlineStr">
        <is>
          <t>FODA y FODA cruzado - Dulxelitos</t>
        </is>
      </c>
    </row>
    <row r="3">
      <c r="A3" s="20" t="inlineStr">
        <is>
          <t>FORTALEZAS</t>
        </is>
      </c>
    </row>
    <row r="4">
      <c r="A4" s="13" t="n">
        <v>1</v>
      </c>
      <c r="B4" s="4" t="inlineStr">
        <is>
          <t>Red de 57 distribuidores en 7 provincias, armada en 53 años</t>
        </is>
      </c>
    </row>
    <row r="5">
      <c r="A5" s="13" t="n">
        <v>2</v>
      </c>
      <c r="B5" s="4" t="inlineStr">
        <is>
          <t>Logística propia más tercerizada, que ellos mismos reconocen como diferencial</t>
        </is>
      </c>
    </row>
    <row r="6">
      <c r="A6" s="13" t="n">
        <v>3</v>
      </c>
      <c r="B6" s="4" t="inlineStr">
        <is>
          <t>Marca con 53 años y presencia en góndola de supermercado</t>
        </is>
      </c>
    </row>
    <row r="7">
      <c r="A7" s="13" t="n">
        <v>4</v>
      </c>
      <c r="B7" s="4" t="inlineStr">
        <is>
          <t>Habilitaciones RNE y RNPA vigentes</t>
        </is>
      </c>
    </row>
    <row r="8">
      <c r="A8" s="13" t="n">
        <v>5</v>
      </c>
      <c r="B8" s="4" t="inlineStr">
        <is>
          <t>Segunda generación trabajando: el día a día está cubierto</t>
        </is>
      </c>
    </row>
    <row r="9">
      <c r="A9" s="13" t="n">
        <v>6</v>
      </c>
      <c r="B9" s="4" t="inlineStr">
        <is>
          <t>Los distribuidores están conformes: los eligen por compromiso y precio</t>
        </is>
      </c>
    </row>
    <row r="10">
      <c r="A10" s="13" t="n">
        <v>7</v>
      </c>
      <c r="B10" s="4" t="inlineStr">
        <is>
          <t>Demanda pareja todo el año, sin exposición a plazos de una cadena grande</t>
        </is>
      </c>
    </row>
    <row r="12">
      <c r="A12" s="21" t="inlineStr">
        <is>
          <t>DEBILIDADES</t>
        </is>
      </c>
    </row>
    <row r="13">
      <c r="A13" s="13" t="n">
        <v>1</v>
      </c>
      <c r="B13" s="4" t="inlineStr">
        <is>
          <t>El costeo por producto está mal y no está sistematizado</t>
        </is>
      </c>
    </row>
    <row r="14">
      <c r="A14" s="13" t="n">
        <v>2</v>
      </c>
      <c r="B14" s="4" t="inlineStr">
        <is>
          <t>La planta está saturada y lo tapan con horas extras, sin plan de ampliar</t>
        </is>
      </c>
    </row>
    <row r="15">
      <c r="A15" s="13" t="n">
        <v>3</v>
      </c>
      <c r="B15" s="4" t="inlineStr">
        <is>
          <t>No miden nada ni tienen reuniones de dirección</t>
        </is>
      </c>
    </row>
    <row r="16">
      <c r="A16" s="13" t="n">
        <v>4</v>
      </c>
      <c r="B16" s="4" t="inlineStr">
        <is>
          <t>El sistema de gestión está viejo, con errores y sin integración</t>
        </is>
      </c>
    </row>
    <row r="17">
      <c r="A17" s="13" t="n">
        <v>5</v>
      </c>
      <c r="B17" s="4" t="inlineStr">
        <is>
          <t>Un solo proveedor de film impreso</t>
        </is>
      </c>
    </row>
    <row r="18">
      <c r="A18" s="13" t="n">
        <v>6</v>
      </c>
      <c r="B18" s="4" t="inlineStr">
        <is>
          <t>Sin CRM ni registro útil de la cartera; no saben cuánto factura cada cliente</t>
        </is>
      </c>
    </row>
    <row r="19">
      <c r="A19" s="13" t="n">
        <v>7</v>
      </c>
      <c r="B19" s="4" t="inlineStr">
        <is>
          <t>Para saber si hay stock, el distribuidor tiene que llamar o ir al depósito</t>
        </is>
      </c>
    </row>
    <row r="20">
      <c r="A20" s="13" t="n">
        <v>8</v>
      </c>
      <c r="B20" s="4" t="inlineStr">
        <is>
          <t>Nadie se capacitó en nada digital en los últimos dos años</t>
        </is>
      </c>
    </row>
    <row r="22">
      <c r="A22" s="22" t="inlineStr">
        <is>
          <t>OPORTUNIDADES</t>
        </is>
      </c>
    </row>
    <row r="23">
      <c r="A23" s="13" t="n">
        <v>1</v>
      </c>
      <c r="B23" s="4" t="inlineStr">
        <is>
          <t>La tienda online ya está construida y con catálogo cargado, solo que apagada</t>
        </is>
      </c>
    </row>
    <row r="24">
      <c r="A24" s="13" t="n">
        <v>2</v>
      </c>
      <c r="B24" s="4" t="inlineStr">
        <is>
          <t>El equipo tiene ganas de capacitarse</t>
        </is>
      </c>
    </row>
    <row r="25">
      <c r="A25" s="13" t="n">
        <v>3</v>
      </c>
      <c r="B25" s="4" t="inlineStr">
        <is>
          <t>Aiello funciona como modelo repetible con otras cadenas regionales</t>
        </is>
      </c>
    </row>
    <row r="26">
      <c r="A26" s="13" t="n">
        <v>4</v>
      </c>
      <c r="B26" s="4" t="inlineStr">
        <is>
          <t>La línea de fraccionamiento permite crecer sin ampliar la planta</t>
        </is>
      </c>
    </row>
    <row r="27">
      <c r="A27" s="13" t="n">
        <v>5</v>
      </c>
      <c r="B27" s="4" t="inlineStr">
        <is>
          <t>La competencia que enfrentan es regional, sin presión de las marcas grandes</t>
        </is>
      </c>
    </row>
    <row r="29">
      <c r="A29" s="23" t="inlineStr">
        <is>
          <t>AMENAZAS</t>
        </is>
      </c>
    </row>
    <row r="30">
      <c r="A30" s="13" t="n">
        <v>1</v>
      </c>
      <c r="B30" s="4" t="inlineStr">
        <is>
          <t>Inflación de insumos sobre un modelo que compite por precio</t>
        </is>
      </c>
    </row>
    <row r="31">
      <c r="A31" s="13" t="n">
        <v>2</v>
      </c>
      <c r="B31" s="4" t="inlineStr">
        <is>
          <t>Que falle el proveedor único de film</t>
        </is>
      </c>
    </row>
    <row r="32">
      <c r="A32" s="13" t="n">
        <v>3</v>
      </c>
      <c r="B32" s="4" t="inlineStr">
        <is>
          <t>Planta saturada: si la demanda salta, no hay con qué responder</t>
        </is>
      </c>
    </row>
    <row r="33">
      <c r="A33" s="13" t="n">
        <v>4</v>
      </c>
      <c r="B33" s="4" t="inlineStr">
        <is>
          <t>Perder clientes sin enterarse, por falta de datos de la cartera</t>
        </is>
      </c>
    </row>
    <row r="34">
      <c r="A34" s="13" t="n">
        <v>5</v>
      </c>
      <c r="B34" s="4" t="inlineStr">
        <is>
          <t>Que un competidor de la zona invierta en gestión y capacidad</t>
        </is>
      </c>
    </row>
    <row r="37">
      <c r="A37" s="10" t="inlineStr">
        <is>
          <t>POR QUÉ NO HICIMOS EL FODA CRUZADO</t>
        </is>
      </c>
    </row>
    <row r="38">
      <c r="A38" s="6" t="inlineStr">
        <is>
          <t>El cruce deriva iniciativas</t>
        </is>
      </c>
      <c r="B38" s="4" t="inlineStr">
        <is>
          <t>Cruzar fortalezas y debilidades contra oportunidades y amenazas sirve para derivar iniciativas concretas de acción.</t>
        </is>
      </c>
    </row>
    <row r="39">
      <c r="A39" s="6" t="inlineStr">
        <is>
          <t>Esta entrega es diagnóstico</t>
        </is>
      </c>
      <c r="B39" s="4" t="inlineStr">
        <is>
          <t>El enunciado pide explícitamente no proponer solución todavía: eso va en la sección 6, que se entrega aparte.</t>
        </is>
      </c>
    </row>
    <row r="40">
      <c r="A40" s="6" t="inlineStr">
        <is>
          <t>La guía de la cátedra tampoco lo hace</t>
        </is>
      </c>
      <c r="B40" s="4" t="inlineStr">
        <is>
          <t>Su ejemplo resuelto del caso Distribuidora Montaña presenta un FODA simple, sin cruzar.</t>
        </is>
      </c>
    </row>
    <row r="41">
      <c r="A41" s="6" t="inlineStr">
        <is>
          <t>Qué sí hicimos</t>
        </is>
      </c>
      <c r="B41" s="4" t="inlineStr">
        <is>
          <t>El FODA de arriba, que el enunciado pide cuando habla de oportunidades y amenazas.</t>
        </is>
      </c>
    </row>
  </sheetData>
  <mergeCells count="6">
    <mergeCell ref="A29:B29"/>
    <mergeCell ref="A37:B37"/>
    <mergeCell ref="A1:B1"/>
    <mergeCell ref="A3:B3"/>
    <mergeCell ref="A22:B22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52" customWidth="1" min="4" max="4"/>
    <col width="20" customWidth="1" min="5" max="5"/>
  </cols>
  <sheetData>
    <row r="1" ht="26" customHeight="1">
      <c r="A1" s="1" t="inlineStr">
        <is>
          <t>Herramientas de análisis aplicadas</t>
        </is>
      </c>
    </row>
    <row r="3" ht="28" customHeight="1">
      <c r="A3" s="3" t="inlineStr">
        <is>
          <t>Sección</t>
        </is>
      </c>
      <c r="B3" s="3" t="inlineStr">
        <is>
          <t>Herramienta</t>
        </is>
      </c>
      <c r="C3" s="3" t="inlineStr">
        <is>
          <t>Autor u origen</t>
        </is>
      </c>
      <c r="D3" s="3" t="inlineStr">
        <is>
          <t>Para qué la usamos</t>
        </is>
      </c>
      <c r="E3" s="3" t="inlineStr">
        <is>
          <t>Dónde la vimos</t>
        </is>
      </c>
    </row>
    <row r="4">
      <c r="A4" s="7" t="inlineStr">
        <is>
          <t>1. La organización</t>
        </is>
      </c>
      <c r="B4" s="7" t="inlineStr">
        <is>
          <t>No aplica</t>
        </is>
      </c>
      <c r="C4" s="7" t="inlineStr"/>
      <c r="D4" s="7" t="inlineStr">
        <is>
          <t>Relevamiento descriptivo según la estructura del enunciado</t>
        </is>
      </c>
      <c r="E4" s="7" t="inlineStr">
        <is>
          <t>Enunciado del TP</t>
        </is>
      </c>
    </row>
    <row r="5">
      <c r="A5" s="4" t="inlineStr">
        <is>
          <t>2. El contexto</t>
        </is>
      </c>
      <c r="B5" s="4" t="inlineStr">
        <is>
          <t>Factores del entorno</t>
        </is>
      </c>
      <c r="C5" s="4" t="inlineStr">
        <is>
          <t>Adaptado de PESTEL</t>
        </is>
      </c>
      <c r="D5" s="4" t="inlineStr">
        <is>
          <t>Tomar las restricciones que pide el enunciado, contando qué le hace cada una a esta empresa</t>
        </is>
      </c>
      <c r="E5" s="4" t="inlineStr">
        <is>
          <t>Clase 2 y guía</t>
        </is>
      </c>
    </row>
    <row r="6">
      <c r="A6" s="7" t="inlineStr">
        <is>
          <t>2. El contexto</t>
        </is>
      </c>
      <c r="B6" s="7" t="inlineStr">
        <is>
          <t>Cinco fuerzas</t>
        </is>
      </c>
      <c r="C6" s="7" t="inlineStr">
        <is>
          <t>Porter (1979, 1980)</t>
        </is>
      </c>
      <c r="D6" s="7" t="inlineStr">
        <is>
          <t>Analizar el sector: rivalidad, proveedores, compradores, entrantes y sustitutos</t>
        </is>
      </c>
      <c r="E6" s="7" t="inlineStr">
        <is>
          <t>Clase 2</t>
        </is>
      </c>
    </row>
    <row r="7">
      <c r="A7" s="4" t="inlineStr">
        <is>
          <t>2. El contexto</t>
        </is>
      </c>
      <c r="B7" s="4" t="inlineStr">
        <is>
          <t>Cadena de valor</t>
        </is>
      </c>
      <c r="C7" s="4" t="inlineStr">
        <is>
          <t>Porter (1985)</t>
        </is>
      </c>
      <c r="D7" s="4" t="inlineStr">
        <is>
          <t>Ver dónde se crea y dónde se pierde margen puertas adentro</t>
        </is>
      </c>
      <c r="E7" s="4" t="inlineStr">
        <is>
          <t>Clase 2</t>
        </is>
      </c>
    </row>
    <row r="8">
      <c r="A8" s="7" t="inlineStr">
        <is>
          <t>2. El contexto</t>
        </is>
      </c>
      <c r="B8" s="7" t="inlineStr">
        <is>
          <t>FODA</t>
        </is>
      </c>
      <c r="C8" s="7" t="inlineStr">
        <is>
          <t>Planeamiento clásico</t>
        </is>
      </c>
      <c r="D8" s="7" t="inlineStr">
        <is>
          <t>Sintetizar lo interno y lo externo en un solo cuadro</t>
        </is>
      </c>
      <c r="E8" s="7" t="inlineStr">
        <is>
          <t>Clase 2 y guía</t>
        </is>
      </c>
    </row>
    <row r="9">
      <c r="A9" s="4" t="inlineStr">
        <is>
          <t>3. Modelo de negocio</t>
        </is>
      </c>
      <c r="B9" s="4" t="inlineStr">
        <is>
          <t>Business Model Canvas</t>
        </is>
      </c>
      <c r="C9" s="4" t="inlineStr">
        <is>
          <t>Osterwalder y Pigneur (2010)</t>
        </is>
      </c>
      <c r="D9" s="4" t="inlineStr">
        <is>
          <t>Describir cómo la empresa crea, entrega y captura valor hoy</t>
        </is>
      </c>
      <c r="E9" s="4" t="inlineStr">
        <is>
          <t>Clase 2</t>
        </is>
      </c>
    </row>
    <row r="10">
      <c r="A10" s="7" t="inlineStr">
        <is>
          <t>3. Modelo de negocio</t>
        </is>
      </c>
      <c r="B10" s="7" t="inlineStr">
        <is>
          <t>Run / Change the Business</t>
        </is>
      </c>
      <c r="C10" s="7" t="inlineStr">
        <is>
          <t>Enfoque bimodal de la materia</t>
        </is>
      </c>
      <c r="D10" s="7" t="inlineStr">
        <is>
          <t>Separar lo que sostiene la operación de lo que la transforma</t>
        </is>
      </c>
      <c r="E10" s="7" t="inlineStr">
        <is>
          <t>Introductoria y Clase 3</t>
        </is>
      </c>
    </row>
    <row r="11">
      <c r="A11" s="4" t="inlineStr">
        <is>
          <t>3. Modelo de negocio</t>
        </is>
      </c>
      <c r="B11" s="4" t="inlineStr">
        <is>
          <t>Liderazgo en costos vs. diferenciación</t>
        </is>
      </c>
      <c r="C11" s="4" t="inlineStr">
        <is>
          <t>Porter (1980)</t>
        </is>
      </c>
      <c r="D11" s="4" t="inlineStr">
        <is>
          <t>Definir la ventaja competitiva real</t>
        </is>
      </c>
      <c r="E11" s="4" t="inlineStr">
        <is>
          <t>Clase 2</t>
        </is>
      </c>
    </row>
    <row r="12">
      <c r="A12" s="7" t="inlineStr">
        <is>
          <t>4. Propuesta de valor</t>
        </is>
      </c>
      <c r="B12" s="7" t="inlineStr">
        <is>
          <t>Value Proposition Canvas</t>
        </is>
      </c>
      <c r="C12" s="7" t="inlineStr">
        <is>
          <t>Osterwalder y otros (2014)</t>
        </is>
      </c>
      <c r="D12" s="7" t="inlineStr">
        <is>
          <t>Cruzar lo que el cliente necesita con lo que la empresa ofrece</t>
        </is>
      </c>
      <c r="E12" s="7" t="inlineStr">
        <is>
          <t>Clase 2</t>
        </is>
      </c>
    </row>
    <row r="13">
      <c r="A13" s="4" t="inlineStr">
        <is>
          <t>5. Madurez</t>
        </is>
      </c>
      <c r="B13" s="4" t="inlineStr">
        <is>
          <t>Modelo de madurez digital</t>
        </is>
      </c>
      <c r="C13" s="4" t="inlineStr">
        <is>
          <t>Cátedra</t>
        </is>
      </c>
      <c r="D13" s="4" t="inlineStr">
        <is>
          <t>Evaluar seis dimensiones con escala A a E, más una séptima agregada</t>
        </is>
      </c>
      <c r="E13" s="4" t="inlineStr">
        <is>
          <t>Material de cátedra</t>
        </is>
      </c>
    </row>
    <row r="14">
      <c r="A14" s="7" t="inlineStr">
        <is>
          <t>5. Madurez</t>
        </is>
      </c>
      <c r="B14" s="7" t="inlineStr">
        <is>
          <t>Costo de No Actuar</t>
        </is>
      </c>
      <c r="C14" s="7" t="inlineStr">
        <is>
          <t>Fórmula de tres componentes</t>
        </is>
      </c>
      <c r="D14" s="7" t="inlineStr">
        <is>
          <t>Poner en plata lo que cuesta no resolver cada brecha</t>
        </is>
      </c>
      <c r="E14" s="7" t="inlineStr">
        <is>
          <t>Clase 3</t>
        </is>
      </c>
    </row>
    <row r="16">
      <c r="A16" s="11" t="inlineStr">
        <is>
          <t>Herramientas que dejamos afuera y por qué</t>
        </is>
      </c>
    </row>
    <row r="17">
      <c r="A17" s="4" t="inlineStr">
        <is>
          <t>PESTEL completo</t>
        </is>
      </c>
      <c r="B17" s="4" t="inlineStr">
        <is>
          <t>Cuatro de sus seis dimensiones volvían vacías en este caso. La guía de la cátedra advierte contra listar factores sin impacto real: usa 'FODA + factores clave', no un PESTEL</t>
        </is>
      </c>
      <c r="C17" s="24" t="n"/>
      <c r="D17" s="24" t="n"/>
      <c r="E17" s="24" t="n"/>
    </row>
    <row r="18">
      <c r="A18" s="4" t="inlineStr">
        <is>
          <t>FODA cruzado</t>
        </is>
      </c>
      <c r="B18" s="4" t="inlineStr">
        <is>
          <t>Su producto son iniciativas y esta entrega es diagnóstico. El FODA simple sí está, que es la forma que usa la guía de la cátedra</t>
        </is>
      </c>
      <c r="C18" s="24" t="n"/>
      <c r="D18" s="24" t="n"/>
      <c r="E18" s="24" t="n"/>
    </row>
    <row r="19">
      <c r="A19" s="4" t="inlineStr">
        <is>
          <t>Hipótesis de Oportunidad Tecnológica</t>
        </is>
      </c>
      <c r="B19" s="4" t="inlineStr">
        <is>
          <t>Es una propuesta de solución (To-Be) y este trabajo es diagnóstico del estado actual</t>
        </is>
      </c>
      <c r="C19" s="24" t="n"/>
      <c r="D19" s="24" t="n"/>
      <c r="E19" s="24" t="n"/>
    </row>
    <row r="20">
      <c r="A20" s="4" t="inlineStr">
        <is>
          <t>BMC en versión To-Be</t>
        </is>
      </c>
      <c r="B20" s="4" t="inlineStr">
        <is>
          <t>El enunciado pide el modelo actual, no el propuesto</t>
        </is>
      </c>
      <c r="C20" s="24" t="n"/>
      <c r="D20" s="24" t="n"/>
      <c r="E20" s="24" t="n"/>
    </row>
    <row r="21">
      <c r="A21" s="4" t="inlineStr">
        <is>
          <t>Balanced Scorecard y OKR</t>
        </is>
      </c>
      <c r="B21" s="4" t="inlineStr">
        <is>
          <t>Corresponden al Hito 3</t>
        </is>
      </c>
      <c r="C21" s="24" t="n"/>
      <c r="D21" s="24" t="n"/>
      <c r="E21" s="24" t="n"/>
    </row>
    <row r="22">
      <c r="A22" s="4" t="inlineStr">
        <is>
          <t>Design Thinking</t>
        </is>
      </c>
      <c r="B22" s="4" t="inlineStr">
        <is>
          <t>Apunta a idear soluciones, que todavía no toca</t>
        </is>
      </c>
      <c r="C22" s="24" t="n"/>
      <c r="D22" s="24" t="n"/>
      <c r="E22" s="24" t="n"/>
    </row>
    <row r="23">
      <c r="A23" s="4" t="inlineStr">
        <is>
          <t>Plantilla del problema gerencial</t>
        </is>
      </c>
      <c r="B23" s="4" t="inlineStr">
        <is>
          <t>Es para la sección 6, que se entrega aparte</t>
        </is>
      </c>
      <c r="C23" s="24" t="n"/>
      <c r="D23" s="24" t="n"/>
      <c r="E23" s="24" t="n"/>
    </row>
  </sheetData>
  <mergeCells count="8">
    <mergeCell ref="B17:E17"/>
    <mergeCell ref="B18:E18"/>
    <mergeCell ref="B23:E23"/>
    <mergeCell ref="B21:E21"/>
    <mergeCell ref="A1:E1"/>
    <mergeCell ref="B19:E19"/>
    <mergeCell ref="B20:E20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2026-09-21T17:59:05Z</dcterms:created>
  <dcterms:modified xsi:type="dcterms:W3CDTF">2026-09-21T17:59:05Z</dcterms:modified>
</cp:coreProperties>
</file>